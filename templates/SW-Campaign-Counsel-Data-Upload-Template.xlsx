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940" yWindow="4590" windowWidth="28080" windowHeight="17865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ift Data" sheetId="2" state="visible" r:id="rId2"/>
    <sheet xmlns:r="http://schemas.openxmlformats.org/officeDocument/2006/relationships" name="Constituent Data" sheetId="3" state="visible" r:id="rId3"/>
    <sheet xmlns:r="http://schemas.openxmlformats.org/officeDocument/2006/relationships" name="Campaign 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;&quot;$&quot;#,##0;"/>
    <numFmt numFmtId="167" formatCode="m/d/yyyy"/>
  </numFmts>
  <fonts count="19">
    <font>
      <name val="Calibri"/>
      <family val="2"/>
      <color theme="1"/>
      <sz val="11"/>
      <scheme val="minor"/>
    </font>
    <font>
      <name val="Avenir Next LT Pro"/>
      <sz val="18"/>
    </font>
    <font>
      <name val="Avenir Next LT Pro"/>
      <sz val="11"/>
    </font>
    <font>
      <name val="Avenir Next LT Pro"/>
      <sz val="14"/>
    </font>
    <font>
      <name val="Avenir Next LT Pro"/>
      <sz val="9"/>
    </font>
    <font>
      <name val="Avenir Next LT Pro"/>
      <sz val="12"/>
    </font>
    <font>
      <name val="Calibri"/>
      <family val="2"/>
      <b val="1"/>
      <color rgb="FFFFFFFF"/>
      <sz val="11"/>
    </font>
    <font>
      <name val="Avenir Next LT Pro"/>
      <family val="2"/>
      <sz val="14"/>
    </font>
    <font>
      <name val="Avenir Next LT Pro"/>
      <family val="2"/>
      <sz val="12"/>
    </font>
    <font>
      <name val="Calibri"/>
      <i val="1"/>
      <color rgb="FF7F7F7F"/>
      <sz val="11"/>
    </font>
    <font>
      <name val="Calibri"/>
      <sz val="11"/>
    </font>
    <font>
      <name val="Calibri"/>
      <b val="1"/>
      <color rgb="FF00386C"/>
      <sz val="11"/>
    </font>
    <font>
      <name val="Calibri"/>
      <b val="1"/>
      <color rgb="FFFFFFFF"/>
      <sz val="11"/>
    </font>
    <font>
      <name val="Calibri"/>
      <family val="2"/>
      <color rgb="FF595959"/>
      <sz val="12"/>
    </font>
    <font>
      <name val="Calibri"/>
      <b val="1"/>
      <color rgb="FF00386C"/>
      <sz val="11"/>
    </font>
    <font>
      <name val="Calibri"/>
      <b val="1"/>
      <color rgb="FFFFFFFF"/>
      <sz val="11"/>
    </font>
    <font>
      <name val="Calibri"/>
      <i val="1"/>
      <color rgb="FF595959"/>
      <sz val="10"/>
    </font>
    <font>
      <name val="Calibri"/>
      <family val="2"/>
      <color rgb="FF00386C"/>
      <sz val="11"/>
    </font>
    <font>
      <name val="Calibri"/>
      <family val="2"/>
      <i val="1"/>
      <color rgb="FF595959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0386C"/>
      </patternFill>
    </fill>
    <fill>
      <patternFill patternType="solid">
        <fgColor rgb="FFF2F2F2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6" fillId="2" borderId="3" applyAlignment="1" pivotButton="0" quotePrefix="0" xfId="0">
      <alignment horizontal="left" vertical="center"/>
    </xf>
    <xf numFmtId="14" fontId="6" fillId="2" borderId="2" applyAlignment="1" pivotButton="0" quotePrefix="0" xfId="0">
      <alignment horizontal="left" vertical="center"/>
    </xf>
    <xf numFmtId="14" fontId="0" fillId="0" borderId="0" pivotButton="0" quotePrefix="0" xfId="0"/>
    <xf numFmtId="164" fontId="6" fillId="2" borderId="2" applyAlignment="1" pivotButton="0" quotePrefix="0" xfId="0">
      <alignment horizontal="left" vertical="center"/>
    </xf>
    <xf numFmtId="164" fontId="0" fillId="0" borderId="0" pivotButton="0" quotePrefix="0" xfId="0"/>
    <xf numFmtId="0" fontId="1" fillId="0" borderId="4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indent="4"/>
    </xf>
    <xf numFmtId="0" fontId="5" fillId="0" borderId="0" applyAlignment="1" pivotButton="0" quotePrefix="0" xfId="0">
      <alignment horizontal="left" indent="7"/>
    </xf>
    <xf numFmtId="0" fontId="7" fillId="0" borderId="0" applyAlignment="1" pivotButton="0" quotePrefix="0" xfId="0">
      <alignment horizontal="left" indent="4"/>
    </xf>
    <xf numFmtId="0" fontId="8" fillId="0" borderId="0" applyAlignment="1" pivotButton="0" quotePrefix="1" xfId="0">
      <alignment horizontal="left" indent="7"/>
    </xf>
    <xf numFmtId="0" fontId="4" fillId="0" borderId="0" applyAlignment="1" pivotButton="0" quotePrefix="0" xfId="0">
      <alignment horizontal="left" vertical="center" indent="3"/>
    </xf>
    <xf numFmtId="0" fontId="5" fillId="0" borderId="0" applyAlignment="1" pivotButton="0" quotePrefix="0" xfId="0">
      <alignment horizontal="left" vertical="center" indent="7"/>
    </xf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top" wrapText="1" indent="2"/>
    </xf>
    <xf numFmtId="164" fontId="0" fillId="4" borderId="5" applyAlignment="1" pivotButton="0" quotePrefix="0" xfId="0">
      <alignment horizontal="right" vertical="center"/>
    </xf>
    <xf numFmtId="165" fontId="0" fillId="4" borderId="5" applyAlignment="1" pivotButton="0" quotePrefix="0" xfId="0">
      <alignment horizontal="right" vertical="center"/>
    </xf>
    <xf numFmtId="164" fontId="11" fillId="4" borderId="5" applyAlignment="1" pivotButton="0" quotePrefix="0" xfId="0">
      <alignment horizontal="right" vertical="center"/>
    </xf>
    <xf numFmtId="165" fontId="11" fillId="4" borderId="5" applyAlignment="1" pivotButton="0" quotePrefix="0" xfId="0">
      <alignment horizontal="right" vertical="center"/>
    </xf>
    <xf numFmtId="0" fontId="14" fillId="4" borderId="5" applyAlignment="1" pivotButton="0" quotePrefix="0" xfId="0">
      <alignment horizontal="left" vertical="top" wrapText="1" indent="2"/>
    </xf>
    <xf numFmtId="0" fontId="14" fillId="4" borderId="5" pivotButton="0" quotePrefix="0" xfId="0"/>
    <xf numFmtId="164" fontId="14" fillId="4" borderId="5" pivotButton="0" quotePrefix="0" xfId="0"/>
    <xf numFmtId="165" fontId="14" fillId="4" borderId="5" pivotButton="0" quotePrefix="0" xfId="0"/>
    <xf numFmtId="0" fontId="15" fillId="3" borderId="6" applyAlignment="1" pivotButton="0" quotePrefix="0" xfId="0">
      <alignment horizontal="center" vertical="center"/>
    </xf>
    <xf numFmtId="164" fontId="15" fillId="3" borderId="6" applyAlignment="1" pivotButton="0" quotePrefix="0" xfId="0">
      <alignment horizontal="center" vertical="center"/>
    </xf>
    <xf numFmtId="3" fontId="15" fillId="3" borderId="6" applyAlignment="1" pivotButton="0" quotePrefix="0" xfId="0">
      <alignment horizontal="center" vertical="center"/>
    </xf>
    <xf numFmtId="165" fontId="15" fillId="3" borderId="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49" fontId="17" fillId="0" borderId="0" applyAlignment="1" pivotButton="0" quotePrefix="0" xfId="0">
      <alignment horizontal="left" vertical="center" indent="1"/>
    </xf>
    <xf numFmtId="14" fontId="17" fillId="0" borderId="0" applyAlignment="1" pivotButton="0" quotePrefix="0" xfId="0">
      <alignment horizontal="left" vertical="center" indent="1"/>
    </xf>
    <xf numFmtId="166" fontId="17" fillId="0" borderId="0" applyAlignment="1" pivotButton="0" quotePrefix="0" xfId="0">
      <alignment horizontal="left" vertical="center" indent="1"/>
    </xf>
    <xf numFmtId="0" fontId="9" fillId="0" borderId="0" pivotButton="0" quotePrefix="0" xfId="0"/>
    <xf numFmtId="0" fontId="10" fillId="5" borderId="5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3" fontId="0" fillId="5" borderId="5" applyAlignment="1" pivotButton="0" quotePrefix="0" xfId="0">
      <alignment horizontal="right" vertical="center"/>
    </xf>
    <xf numFmtId="0" fontId="11" fillId="5" borderId="5" applyAlignment="1" pivotButton="0" quotePrefix="0" xfId="0">
      <alignment horizontal="center" vertical="center"/>
    </xf>
    <xf numFmtId="164" fontId="11" fillId="5" borderId="5" applyAlignment="1" pivotButton="0" quotePrefix="0" xfId="0">
      <alignment horizontal="right" vertical="center"/>
    </xf>
    <xf numFmtId="3" fontId="11" fillId="5" borderId="5" applyAlignment="1" pivotButton="0" quotePrefix="0" xfId="0">
      <alignment horizontal="right" vertical="center"/>
    </xf>
    <xf numFmtId="0" fontId="0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indent="2"/>
    </xf>
    <xf numFmtId="0" fontId="0" fillId="0" borderId="0" pivotButton="0" quotePrefix="0" xfId="0"/>
    <xf numFmtId="0" fontId="12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center" indent="2"/>
    </xf>
    <xf numFmtId="0" fontId="18" fillId="0" borderId="0" applyAlignment="1" pivotButton="0" quotePrefix="0" xfId="0">
      <alignment horizontal="left" vertical="top" wrapText="1" indent="2"/>
    </xf>
    <xf numFmtId="167" fontId="17" fillId="0" borderId="0" applyAlignment="1" pivotButton="0" quotePrefix="0" xfId="0">
      <alignment horizontal="left" vertical="center" indent="1"/>
    </xf>
    <xf numFmtId="164" fontId="17" fillId="0" borderId="0" applyAlignment="1" pivotButton="0" quotePrefix="0" xfId="0">
      <alignment horizontal="left" vertical="center" indent="1"/>
    </xf>
    <xf numFmtId="9" fontId="0" fillId="4" borderId="5" applyAlignment="1" pivotButton="0" quotePrefix="0" xfId="0">
      <alignment horizontal="right" vertical="center"/>
    </xf>
    <xf numFmtId="9" fontId="11" fillId="4" borderId="5" applyAlignment="1" pivotButton="0" quotePrefix="0" xfId="0">
      <alignment horizontal="right" vertical="center"/>
    </xf>
    <xf numFmtId="9" fontId="14" fillId="4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7"/>
  <sheetViews>
    <sheetView showGridLines="0" showRowColHeaders="0" workbookViewId="0">
      <selection activeCell="B35" sqref="B35"/>
    </sheetView>
  </sheetViews>
  <sheetFormatPr baseColWidth="8" defaultRowHeight="15"/>
  <cols>
    <col width="13.28515625" customWidth="1" style="50" min="1" max="1"/>
    <col width="138" customWidth="1" style="50" min="2" max="2"/>
  </cols>
  <sheetData>
    <row r="2" ht="23.25" customHeight="1" s="50">
      <c r="B2" s="9" t="inlineStr">
        <is>
          <t>Instructions</t>
        </is>
      </c>
    </row>
    <row r="3" ht="27.75" customHeight="1" s="50">
      <c r="B3" s="10" t="inlineStr">
        <is>
          <t>To ensure proper formatting for analysis please use this template for uploading data</t>
        </is>
      </c>
    </row>
    <row r="4" ht="18.75" customHeight="1" s="50">
      <c r="B4" s="1" t="inlineStr">
        <is>
          <t>1.) Download/prepare your data from your database</t>
        </is>
      </c>
    </row>
    <row r="5" ht="18.75" customHeight="1" s="50">
      <c r="B5" s="15" t="inlineStr">
        <is>
          <t>NOTE: For this analysis we need a complete export of all gifts and pledges since the campaign start date</t>
        </is>
      </c>
    </row>
    <row r="7" ht="18.75" customHeight="1" s="50">
      <c r="B7" s="1" t="inlineStr">
        <is>
          <t>2.) Gift Data Sheet:</t>
        </is>
      </c>
    </row>
    <row r="8" ht="18.75" customHeight="1" s="50">
      <c r="B8" s="13" t="inlineStr">
        <is>
          <t>a) Copy and paste all Constituent IDs (one row per gift/pledge) into Column A</t>
        </is>
      </c>
    </row>
    <row r="9" ht="18.75" customHeight="1" s="50">
      <c r="B9" s="11" t="inlineStr">
        <is>
          <t>b) Copy and paste all Gift Dates into Column B</t>
        </is>
      </c>
    </row>
    <row r="10" ht="18.75" customHeight="1" s="50">
      <c r="B10" s="11" t="inlineStr">
        <is>
          <t>c) Copy and paste all Payment Amounts into Column C</t>
        </is>
      </c>
    </row>
    <row r="11" ht="18.75" customHeight="1" s="50">
      <c r="B11" s="11" t="inlineStr">
        <is>
          <t>d) For pledge payments, enter the total Pledge Amount in Column D</t>
        </is>
      </c>
    </row>
    <row r="12" ht="18.75" customHeight="1" s="50">
      <c r="B12" s="11" t="inlineStr">
        <is>
          <t>e) For pledge payments, enter the Pledge ID in Column E (leave blank for one-time gifts)</t>
        </is>
      </c>
    </row>
    <row r="13" ht="15.75" customHeight="1" s="50">
      <c r="B13" s="12" t="inlineStr">
        <is>
          <t>- Use the same Pledge ID across all payments belonging to one pledge</t>
        </is>
      </c>
    </row>
    <row r="14" ht="15.75" customHeight="1" s="50">
      <c r="B14" s="14" t="inlineStr">
        <is>
          <t>- Pledge Payment rows must include the same Pledge ID as the rest of the pledge</t>
        </is>
      </c>
    </row>
    <row r="15" ht="18.75" customHeight="1" s="50">
      <c r="B15" s="11" t="inlineStr">
        <is>
          <t>f) Copy and paste the Donor Name into Column F</t>
        </is>
      </c>
    </row>
    <row r="16" ht="18.75" customHeight="1" s="50">
      <c r="B16" s="13" t="inlineStr">
        <is>
          <t>g) Copy and paste all Constituent Types into Column G</t>
        </is>
      </c>
    </row>
    <row r="17" ht="18.75" customHeight="1" s="50">
      <c r="B17" s="13" t="inlineStr">
        <is>
          <t>h) Optional: Enter the Pledge Designation (e.g. Building, Endowment) in Column H</t>
        </is>
      </c>
    </row>
    <row r="18" ht="18.75" customHeight="1" s="50">
      <c r="B18" s="13" t="inlineStr">
        <is>
          <t>i) Enter the pledge Status in Column I</t>
        </is>
      </c>
    </row>
    <row r="19" ht="18.75" customHeight="1" s="50">
      <c r="B19" s="13" t="inlineStr">
        <is>
          <t>j) Enter the Gift Type in Column J</t>
        </is>
      </c>
    </row>
    <row r="20" ht="18.75" customHeight="1" s="50">
      <c r="B20" s="13" t="n"/>
    </row>
    <row r="21" ht="15.75" customHeight="1" s="50">
      <c r="B21" s="1" t="n"/>
    </row>
    <row r="22" ht="18.75" customHeight="1" s="50">
      <c r="B22" s="1" t="inlineStr">
        <is>
          <t>3.) Constituent Data Sheet:</t>
        </is>
      </c>
    </row>
    <row r="23" ht="18.75" customHeight="1" s="50">
      <c r="B23" s="13" t="inlineStr">
        <is>
          <t>a) Copy and paste all Constituent IDs (one row per Constituent) into Column A</t>
        </is>
      </c>
    </row>
    <row r="24" ht="18.75" customHeight="1" s="50">
      <c r="B24" s="11" t="inlineStr">
        <is>
          <t>b) Copy and paste all Constituent Names into Column B</t>
        </is>
      </c>
    </row>
    <row r="25" ht="18.75" customHeight="1" s="50">
      <c r="B25" s="11" t="inlineStr">
        <is>
          <t>c) Copy and paste all Constituent Types into Column C</t>
        </is>
      </c>
    </row>
    <row r="26" ht="18.75" customHeight="1" s="50">
      <c r="B26" s="11" t="inlineStr">
        <is>
          <t>d) Copy and paste all First Gift Dates into Column D</t>
        </is>
      </c>
    </row>
    <row r="27" ht="18.75" customHeight="1" s="50">
      <c r="B27" s="16" t="inlineStr">
        <is>
          <t>- It's OK if a First Gift Date is outside of the campaign window or missing</t>
        </is>
      </c>
    </row>
    <row r="28" ht="18.75" customHeight="1" s="50">
      <c r="B28" s="11" t="inlineStr">
        <is>
          <t>e) Enter 'Yes' in Column E for all Board Members</t>
        </is>
      </c>
    </row>
    <row r="29" ht="18.75" customHeight="1" s="50">
      <c r="B29" s="13" t="inlineStr">
        <is>
          <t>f) Copy and paste all Constituent Addresses into Columns F through I</t>
        </is>
      </c>
    </row>
    <row r="30" ht="15.75" customHeight="1" s="50">
      <c r="B30" s="16" t="inlineStr">
        <is>
          <t>- It's OK if an address is missing</t>
        </is>
      </c>
    </row>
    <row r="33" ht="18.75" customHeight="1" s="50">
      <c r="B33" s="1" t="inlineStr">
        <is>
          <t>4.) Campaign Data Sheet:</t>
        </is>
      </c>
    </row>
    <row r="34" ht="18.75" customHeight="1" s="50">
      <c r="B34" s="13" t="inlineStr">
        <is>
          <t>a) Type your Campaign Information in cells B1 though B4.</t>
        </is>
      </c>
    </row>
    <row r="35" ht="18.75" customHeight="1" s="50">
      <c r="B35" s="13" t="inlineStr">
        <is>
          <t>b) The eight tier rows below pre-populate using an industry-standard pyramid (top gift = 10% of goal, then 5%, 2.5%, 1.25%, 0.5%, 0.25%, 0.10%; tier 8 is the long-tail catch-all).</t>
        </is>
      </c>
    </row>
    <row r="36" ht="18.75" customHeight="1" s="50">
      <c r="B36" s="13" t="inlineStr">
        <is>
          <t>c) Override any "Range Floor" or "# Need" cell (light blue) to customize a specific tier — the gray columns ($ Need, % of Goal, Cumulative %) recompute automatically.</t>
        </is>
      </c>
    </row>
    <row r="37" ht="18.75" customHeight="1" s="50">
      <c r="B37" s="13" t="inlineStr">
        <is>
          <t>d) Tier 8 always carries the remainder so the pyramid reconciles to 100% of the goal.</t>
        </is>
      </c>
    </row>
  </sheetData>
  <sheetProtection selectLockedCells="1" selectUnlockedCells="1" sheet="1" objects="0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6" customWidth="1" style="50" min="1" max="1"/>
    <col width="14" customWidth="1" style="6" min="2" max="2"/>
    <col width="18.85546875" bestFit="1" customWidth="1" style="8" min="3" max="3"/>
    <col width="16" customWidth="1" style="8" min="4" max="4"/>
    <col width="14" customWidth="1" style="50" min="5" max="5"/>
    <col width="32" customWidth="1" style="50" min="6" max="6"/>
    <col width="22" customWidth="1" style="50" min="7" max="8"/>
    <col width="28" customWidth="1" style="50" min="9" max="9"/>
    <col width="26" customWidth="1" style="50" min="10" max="10"/>
  </cols>
  <sheetData>
    <row r="1" ht="21.95" customHeight="1" s="50">
      <c r="A1" s="2" t="inlineStr">
        <is>
          <t>Constituent ID</t>
        </is>
      </c>
      <c r="B1" s="5" t="inlineStr">
        <is>
          <t>Gift Date</t>
        </is>
      </c>
      <c r="C1" s="7" t="inlineStr">
        <is>
          <t>Payment Amount</t>
        </is>
      </c>
      <c r="D1" s="7" t="inlineStr">
        <is>
          <t>Pledge Total</t>
        </is>
      </c>
      <c r="E1" s="3" t="inlineStr">
        <is>
          <t>Pledge ID</t>
        </is>
      </c>
      <c r="F1" s="3" t="inlineStr">
        <is>
          <t>Donor Name</t>
        </is>
      </c>
      <c r="G1" s="3" t="inlineStr">
        <is>
          <t>Donor Type</t>
        </is>
      </c>
      <c r="H1" s="3" t="inlineStr">
        <is>
          <t>Designation</t>
        </is>
      </c>
      <c r="I1" s="4" t="inlineStr">
        <is>
          <t>Status</t>
        </is>
      </c>
      <c r="J1" s="4" t="inlineStr">
        <is>
          <t>Gift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6" customWidth="1" style="50" min="1" max="1"/>
    <col width="32" customWidth="1" style="50" min="2" max="2"/>
    <col width="22" customWidth="1" style="50" min="3" max="3"/>
    <col width="16" customWidth="1" style="6" min="4" max="4"/>
    <col width="14" customWidth="1" style="50" min="5" max="5"/>
    <col width="30" customWidth="1" style="50" min="6" max="6"/>
    <col width="18" customWidth="1" style="50" min="7" max="7"/>
    <col width="8" customWidth="1" style="50" min="8" max="8"/>
    <col width="12" customWidth="1" style="50" min="9" max="9"/>
  </cols>
  <sheetData>
    <row r="1" ht="21.95" customHeight="1" s="50">
      <c r="A1" s="2" t="inlineStr">
        <is>
          <t>Constituent ID</t>
        </is>
      </c>
      <c r="B1" s="3" t="inlineStr">
        <is>
          <t>Constituent Name</t>
        </is>
      </c>
      <c r="C1" s="3" t="inlineStr">
        <is>
          <t>Constituent Type</t>
        </is>
      </c>
      <c r="D1" s="5" t="inlineStr">
        <is>
          <t>First Gift Date</t>
        </is>
      </c>
      <c r="E1" s="3" t="inlineStr">
        <is>
          <t>Board Member?</t>
        </is>
      </c>
      <c r="F1" s="3" t="inlineStr">
        <is>
          <t>Street Address</t>
        </is>
      </c>
      <c r="G1" s="3" t="inlineStr">
        <is>
          <t>City</t>
        </is>
      </c>
      <c r="H1" s="3" t="inlineStr">
        <is>
          <t>State</t>
        </is>
      </c>
      <c r="I1" s="4" t="inlineStr">
        <is>
          <t>Zip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tabSelected="1" workbookViewId="0">
      <selection activeCell="B1" sqref="B1"/>
    </sheetView>
  </sheetViews>
  <sheetFormatPr baseColWidth="8" defaultRowHeight="15"/>
  <cols>
    <col width="22" bestFit="1" customWidth="1" style="50" min="1" max="1"/>
    <col width="18" customWidth="1" style="50" min="2" max="2"/>
    <col width="14" customWidth="1" style="50" min="3" max="3"/>
    <col width="18" customWidth="1" style="50" min="4" max="4"/>
    <col width="14" customWidth="1" style="50" min="5" max="5"/>
    <col width="16" customWidth="1" style="50" min="6" max="6"/>
  </cols>
  <sheetData>
    <row r="1">
      <c r="A1" s="31" t="inlineStr">
        <is>
          <t>Campaign Name:</t>
        </is>
      </c>
      <c r="B1" s="36" t="n"/>
      <c r="C1" s="39" t="n"/>
    </row>
    <row r="2">
      <c r="A2" s="31" t="inlineStr">
        <is>
          <t>Campaign Start Date:</t>
        </is>
      </c>
      <c r="B2" s="56" t="n"/>
    </row>
    <row r="3">
      <c r="A3" s="31" t="inlineStr">
        <is>
          <t>Campaign End Date:</t>
        </is>
      </c>
      <c r="B3" s="56" t="n"/>
      <c r="C3" s="51" t="n"/>
    </row>
    <row r="4">
      <c r="A4" s="31" t="inlineStr">
        <is>
          <t>Campaign Goal:</t>
        </is>
      </c>
      <c r="B4" s="57" t="n"/>
      <c r="C4" s="52" t="n"/>
    </row>
    <row r="5">
      <c r="A5" s="33" t="n"/>
      <c r="B5" s="34" t="n"/>
      <c r="C5" s="52" t="n"/>
      <c r="D5" s="34" t="n"/>
      <c r="E5" s="35" t="n"/>
      <c r="F5" s="35" t="n"/>
    </row>
    <row r="6">
      <c r="A6" s="27" t="inlineStr">
        <is>
          <t>Tier</t>
        </is>
      </c>
      <c r="B6" s="28" t="inlineStr">
        <is>
          <t>Range Floor</t>
        </is>
      </c>
      <c r="C6" s="29" t="inlineStr">
        <is>
          <t># Need</t>
        </is>
      </c>
      <c r="D6" s="28" t="inlineStr">
        <is>
          <t>$ Need</t>
        </is>
      </c>
      <c r="E6" s="30" t="inlineStr">
        <is>
          <t>% of Goal</t>
        </is>
      </c>
      <c r="F6" s="30" t="inlineStr">
        <is>
          <t>Cumulative %</t>
        </is>
      </c>
    </row>
    <row r="7">
      <c r="A7" s="40" t="n">
        <v>1</v>
      </c>
      <c r="B7" s="41">
        <f>IF($B$4&gt;0,LOOKUP($B$4*0.1,{10;25;50;100;250;500;1000;2500;5000;10000;25000;50000;100000;250000;500000;1000000;2500000;5000000;10000000;25000000;50000000;100000000;250000000;500000000;1000000000}),"")</f>
        <v/>
      </c>
      <c r="C7" s="42">
        <f>IF(AND($B$4&gt;0,B7&gt;0),MAX(1,ROUND($B$4*0.1/B7,0)),"")</f>
        <v/>
      </c>
      <c r="D7" s="19">
        <f>IF(AND($B$4&gt;0,B7&gt;0,ISNUMBER(C7)),B7*C7,"")</f>
        <v/>
      </c>
      <c r="E7" s="58">
        <f>IF(AND($B$4&gt;0,ISNUMBER(D7)),D7/$B$4,"")</f>
        <v/>
      </c>
      <c r="F7" s="58">
        <f>IF(ISNUMBER(E7),E7,"")</f>
        <v/>
      </c>
    </row>
    <row r="8">
      <c r="A8" s="40" t="n">
        <v>2</v>
      </c>
      <c r="B8" s="41">
        <f>IF($B$4&gt;0,LOOKUP($B$4*0.05,{10;25;50;100;250;500;1000;2500;5000;10000;25000;50000;100000;250000;500000;1000000;2500000;5000000;10000000;25000000;50000000;100000000;250000000;500000000;1000000000}),"")</f>
        <v/>
      </c>
      <c r="C8" s="42">
        <f>IF(AND($B$4&gt;0,B8&gt;0),MAX(1,ROUND($B$4*0.1/B8,0)),"")</f>
        <v/>
      </c>
      <c r="D8" s="19">
        <f>IF(AND($B$4&gt;0,B8&gt;0,ISNUMBER(C8)),B8*C8,"")</f>
        <v/>
      </c>
      <c r="E8" s="58">
        <f>IF(AND($B$4&gt;0,ISNUMBER(D8)),D8/$B$4,"")</f>
        <v/>
      </c>
      <c r="F8" s="58">
        <f>IF(ISNUMBER(E8),IF(ISNUMBER(F7),F7+E8,E8),"")</f>
        <v/>
      </c>
    </row>
    <row r="9">
      <c r="A9" s="40" t="n">
        <v>3</v>
      </c>
      <c r="B9" s="41">
        <f>IF($B$4&gt;0,LOOKUP($B$4*0.025,{10;25;50;100;250;500;1000;2500;5000;10000;25000;50000;100000;250000;500000;1000000;2500000;5000000;10000000;25000000;50000000;100000000;250000000;500000000;1000000000}),"")</f>
        <v/>
      </c>
      <c r="C9" s="42">
        <f>IF(AND($B$4&gt;0,B9&gt;0),MAX(1,ROUND($B$4*0.1/B9,0)),"")</f>
        <v/>
      </c>
      <c r="D9" s="19">
        <f>IF(AND($B$4&gt;0,B9&gt;0,ISNUMBER(C9)),B9*C9,"")</f>
        <v/>
      </c>
      <c r="E9" s="58">
        <f>IF(AND($B$4&gt;0,ISNUMBER(D9)),D9/$B$4,"")</f>
        <v/>
      </c>
      <c r="F9" s="58">
        <f>IF(ISNUMBER(E9),IF(ISNUMBER(F8),F8+E9,E9),"")</f>
        <v/>
      </c>
    </row>
    <row r="10">
      <c r="A10" s="40" t="n">
        <v>4</v>
      </c>
      <c r="B10" s="41">
        <f>IF($B$4&gt;0,LOOKUP($B$4*0.0125,{10;25;50;100;250;500;1000;2500;5000;10000;25000;50000;100000;250000;500000;1000000;2500000;5000000;10000000;25000000;50000000;100000000;250000000;500000000;1000000000}),"")</f>
        <v/>
      </c>
      <c r="C10" s="42">
        <f>IF(AND($B$4&gt;0,B10&gt;0),MAX(1,ROUND($B$4*0.1/B10,0)),"")</f>
        <v/>
      </c>
      <c r="D10" s="19">
        <f>IF(AND($B$4&gt;0,B10&gt;0,ISNUMBER(C10)),B10*C10,"")</f>
        <v/>
      </c>
      <c r="E10" s="58">
        <f>IF(AND($B$4&gt;0,ISNUMBER(D10)),D10/$B$4,"")</f>
        <v/>
      </c>
      <c r="F10" s="58">
        <f>IF(ISNUMBER(E10),IF(ISNUMBER(F9),F9+E10,E10),"")</f>
        <v/>
      </c>
    </row>
    <row r="11">
      <c r="A11" s="40" t="n">
        <v>5</v>
      </c>
      <c r="B11" s="41">
        <f>IF($B$4&gt;0,LOOKUP($B$4*0.005,{10;25;50;100;250;500;1000;2500;5000;10000;25000;50000;100000;250000;500000;1000000;2500000;5000000;10000000;25000000;50000000;100000000;250000000;500000000;1000000000}),"")</f>
        <v/>
      </c>
      <c r="C11" s="42">
        <f>IF(AND($B$4&gt;0,B11&gt;0),MAX(1,ROUND($B$4*0.1/B11,0)),"")</f>
        <v/>
      </c>
      <c r="D11" s="19">
        <f>IF(AND($B$4&gt;0,B11&gt;0,ISNUMBER(C11)),B11*C11,"")</f>
        <v/>
      </c>
      <c r="E11" s="58">
        <f>IF(AND($B$4&gt;0,ISNUMBER(D11)),D11/$B$4,"")</f>
        <v/>
      </c>
      <c r="F11" s="58">
        <f>IF(ISNUMBER(E11),IF(ISNUMBER(F10),F10+E11,E11),"")</f>
        <v/>
      </c>
    </row>
    <row r="12">
      <c r="A12" s="43" t="n">
        <v>6</v>
      </c>
      <c r="B12" s="44">
        <f>IF($B$4&gt;0,LOOKUP($B$4*0.0025,{10;25;50;100;250;500;1000;2500;5000;10000;25000;50000;100000;250000;500000;1000000;2500000;5000000;10000000;25000000;50000000;100000000;250000000;500000000;1000000000}),"")</f>
        <v/>
      </c>
      <c r="C12" s="45">
        <f>IF(AND($B$4&gt;0,B12&gt;0),MAX(1,ROUND($B$4*0.1/B12,0)),"")</f>
        <v/>
      </c>
      <c r="D12" s="21">
        <f>IF(AND($B$4&gt;0,B12&gt;0,ISNUMBER(C12)),B12*C12,"")</f>
        <v/>
      </c>
      <c r="E12" s="59">
        <f>IF(AND($B$4&gt;0,ISNUMBER(D12)),D12/$B$4,"")</f>
        <v/>
      </c>
      <c r="F12" s="59">
        <f>IF(ISNUMBER(E12),IF(ISNUMBER(F11),F11+E12,E12),"")</f>
        <v/>
      </c>
    </row>
    <row r="13">
      <c r="A13" s="46" t="n">
        <v>7</v>
      </c>
      <c r="B13" s="41">
        <f>IF($B$4&gt;0,LOOKUP($B$4*0.001,{10;25;50;100;250;500;1000;2500;5000;10000;25000;50000;100000;250000;500000;1000000;2500000;5000000;10000000;25000000;50000000;100000000;250000000;500000000;1000000000}),"")</f>
        <v/>
      </c>
      <c r="C13" s="42">
        <f>IF(AND($B$4&gt;0,B13&gt;0),MAX(1,ROUND($B$4*0.1/B13,0)),"")</f>
        <v/>
      </c>
      <c r="D13" s="19">
        <f>IF(AND($B$4&gt;0,B13&gt;0,ISNUMBER(C13)),B13*C13,"")</f>
        <v/>
      </c>
      <c r="E13" s="58">
        <f>IF(AND($B$4&gt;0,ISNUMBER(D13)),D13/$B$4,"")</f>
        <v/>
      </c>
      <c r="F13" s="58">
        <f>IF(ISNUMBER(E13),IF(ISNUMBER(F12),F12+E13,E13),"")</f>
        <v/>
      </c>
    </row>
    <row r="14">
      <c r="A14" s="43" t="n">
        <v>8</v>
      </c>
      <c r="B14" s="41" t="n">
        <v>1</v>
      </c>
      <c r="C14" s="47" t="inlineStr">
        <is>
          <t>Many</t>
        </is>
      </c>
      <c r="D14" s="19">
        <f>IF($B$4&gt;0,$B$4-SUM(D7:D13),"")</f>
        <v/>
      </c>
      <c r="E14" s="58">
        <f>IF($B$4&gt;0,D14/$B$4,"")</f>
        <v/>
      </c>
      <c r="F14" s="58">
        <f>IF($B$4&gt;0,F13+E14,"")</f>
        <v/>
      </c>
    </row>
    <row r="15" customFormat="1" s="17">
      <c r="A15" s="23" t="inlineStr">
        <is>
          <t>TOTAL</t>
        </is>
      </c>
      <c r="B15" s="25" t="n"/>
      <c r="C15" s="24" t="n"/>
      <c r="D15" s="25">
        <f>IF($B$4&gt;0,SUM(D7:D14),"")</f>
        <v/>
      </c>
      <c r="E15" s="60">
        <f>IF($B$4&gt;0,D15/$B$4,"")</f>
        <v/>
      </c>
      <c r="F15" s="60" t="n"/>
    </row>
    <row r="16" ht="41.25" customFormat="1" customHeight="1" s="17">
      <c r="A16" s="18" t="n"/>
    </row>
    <row r="17" customFormat="1" s="17">
      <c r="A17" s="53" t="inlineStr">
        <is>
          <t>How this works</t>
        </is>
      </c>
    </row>
    <row r="18" ht="28.5" customFormat="1" customHeight="1" s="17">
      <c r="A18" s="55" t="inlineStr">
        <is>
          <t>1. Fill the four campaign fields (Name optional, Start Date, End Date, Goal) at the top. The pyramid recomputes automatically.</t>
        </is>
      </c>
    </row>
    <row r="19">
      <c r="A19" s="48" t="inlineStr">
        <is>
          <t>2. Range Floors (column B) auto-scale with goal and snap to natural fundraising amounts. Override any cell to customize a specific tier.</t>
        </is>
      </c>
    </row>
    <row r="20">
      <c r="A20" s="48" t="inlineStr">
        <is>
          <t>3. # Need (column C) auto-computes so each tier targets ~10% of goal. Tier 8 floor is hardcoded to $1 and catches the remainder.</t>
        </is>
      </c>
    </row>
  </sheetData>
  <mergeCells count="7">
    <mergeCell ref="C3:F3"/>
    <mergeCell ref="A19:F19"/>
    <mergeCell ref="C4:F4"/>
    <mergeCell ref="A17:F17"/>
    <mergeCell ref="A18:F18"/>
    <mergeCell ref="A20:F20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2026-04-27T14:29:50Z</dcterms:created>
  <dcterms:modified xmlns:dcterms="http://purl.org/dc/terms/" xmlns:xsi="http://www.w3.org/2001/XMLSchema-instance" xsi:type="dcterms:W3CDTF">2026-05-12T11:15:55Z</dcterms:modified>
  <cp:lastModifiedBy>Duke Bonaventura</cp:lastModifiedBy>
</cp:coreProperties>
</file>